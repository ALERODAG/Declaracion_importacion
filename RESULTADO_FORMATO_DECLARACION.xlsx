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ESARROLLO DE SOFTWARE\PDF_A_LEER\EXCEL_PDF_LEIDOS\DIM YADAS BL CNFE250800685 PARA OK ADK CON\"/>
    </mc:Choice>
  </mc:AlternateContent>
  <xr:revisionPtr revIDLastSave="0" documentId="13_ncr:1_{B590150E-F6D0-47D1-A9AC-230569238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5" i="1" l="1"/>
  <c r="CD4" i="1"/>
  <c r="CD3" i="1"/>
  <c r="CD2" i="1"/>
</calcChain>
</file>

<file path=xl/sharedStrings.xml><?xml version="1.0" encoding="utf-8"?>
<sst xmlns="http://schemas.openxmlformats.org/spreadsheetml/2006/main" count="457" uniqueCount="192">
  <si>
    <t>DECLARACION</t>
  </si>
  <si>
    <t>AÑO</t>
  </si>
  <si>
    <t>NIT YADAS</t>
  </si>
  <si>
    <t>NUMERO DE VERIFICACION</t>
  </si>
  <si>
    <t>APELLIDO Y NOMBRE RAZON SOCIAL</t>
  </si>
  <si>
    <t>DIRECCION</t>
  </si>
  <si>
    <t>TELEFONO</t>
  </si>
  <si>
    <t>COD. ADMON</t>
  </si>
  <si>
    <t>COD DEPARTAMENTO</t>
  </si>
  <si>
    <t>CODIGO MUNICIPIO</t>
  </si>
  <si>
    <t>NIT DECLARANTE</t>
  </si>
  <si>
    <t>NUMERO DE VERIFICACION DECLARANTE</t>
  </si>
  <si>
    <t>RAZON SOCIAL DEL DECLARANTE</t>
  </si>
  <si>
    <t>TIPO DE USUARIO</t>
  </si>
  <si>
    <t>COD_USUARIO</t>
  </si>
  <si>
    <t>NUMERO DE DOCUMENTO</t>
  </si>
  <si>
    <t>NOMBRES Y APELLIDOS</t>
  </si>
  <si>
    <t>CLASE DE IMPORTADOR</t>
  </si>
  <si>
    <t>TIPO DE DECLARACION</t>
  </si>
  <si>
    <t>CODIGO DECLARACION</t>
  </si>
  <si>
    <t>FORMATO ANTERIOR</t>
  </si>
  <si>
    <t>AÑO MES DIA</t>
  </si>
  <si>
    <t>DECLARACION DE EXPORTACION</t>
  </si>
  <si>
    <t>AÑO MES DIA2</t>
  </si>
  <si>
    <t>Columna1</t>
  </si>
  <si>
    <t>Columna2</t>
  </si>
  <si>
    <t>Columna27</t>
  </si>
  <si>
    <t>Columna28</t>
  </si>
  <si>
    <t>Columna29</t>
  </si>
  <si>
    <t>Columna30</t>
  </si>
  <si>
    <t>COD LUGAR DE INGRESO MERCANCIA</t>
  </si>
  <si>
    <t>CODIGO DEPOSITO</t>
  </si>
  <si>
    <t>MANIFIESTO DE CARGA</t>
  </si>
  <si>
    <t>AÑO2</t>
  </si>
  <si>
    <t>MES</t>
  </si>
  <si>
    <t>DIA</t>
  </si>
  <si>
    <t>DOCUMENTO DE TRANSPORTE</t>
  </si>
  <si>
    <t>AÑO3</t>
  </si>
  <si>
    <t>MES2</t>
  </si>
  <si>
    <t>DIA2</t>
  </si>
  <si>
    <t>NOMBRE EXPORTADOR O PROVEEDOR EXTERIOR</t>
  </si>
  <si>
    <t>CIUDAD</t>
  </si>
  <si>
    <t>COD PAIS</t>
  </si>
  <si>
    <t>DIRECCION EXPORTADOR</t>
  </si>
  <si>
    <t>CORREO EXPORTADOR</t>
  </si>
  <si>
    <t>NUMERO DE FACTURA</t>
  </si>
  <si>
    <t>AÑO4</t>
  </si>
  <si>
    <t>MES3</t>
  </si>
  <si>
    <t>DIA3</t>
  </si>
  <si>
    <t>COD PROCEDENCIA</t>
  </si>
  <si>
    <t>COD MODO TRANSPORTE</t>
  </si>
  <si>
    <t>COD BANDERA</t>
  </si>
  <si>
    <t>COD DEPARTAMENTO DESTINO</t>
  </si>
  <si>
    <t>EMPRESA TRANSPORTADORA</t>
  </si>
  <si>
    <t>TASA DE CAMBIO</t>
  </si>
  <si>
    <t>CVS</t>
  </si>
  <si>
    <t>SUBPARTIDA ARANCELARIA</t>
  </si>
  <si>
    <t>COD COMPLEMENT</t>
  </si>
  <si>
    <t>COD SUPLEMENT</t>
  </si>
  <si>
    <t>COD MODALIDAD</t>
  </si>
  <si>
    <t>NUMERO CUOTAS A MESES</t>
  </si>
  <si>
    <t>VALOR CUOTA USD</t>
  </si>
  <si>
    <t>PERIODICIDAD DE PAGO</t>
  </si>
  <si>
    <t>COD PAIS ORIGEN</t>
  </si>
  <si>
    <t>COD ACUERDO</t>
  </si>
  <si>
    <t>FORMAS DE PAGO IMPORTACION</t>
  </si>
  <si>
    <t>TIPO IMPORTACION</t>
  </si>
  <si>
    <t>COD_PAIS_COMPRA</t>
  </si>
  <si>
    <t>PESO_BRUTO</t>
  </si>
  <si>
    <t>DMS_PESO_BRUTO_KG</t>
  </si>
  <si>
    <t>PESO_NETO_KG</t>
  </si>
  <si>
    <t>DMS_PESO_NETO_KG</t>
  </si>
  <si>
    <t>CODIGO_EMBALAJE</t>
  </si>
  <si>
    <t>NUMERO_BULTOS</t>
  </si>
  <si>
    <t>SUBPARTIDAS</t>
  </si>
  <si>
    <t>COD_UNIDAD_CAL</t>
  </si>
  <si>
    <t>CANTIDAD</t>
  </si>
  <si>
    <t>DMS_CANTIDAD</t>
  </si>
  <si>
    <t>VALOR FOB USD</t>
  </si>
  <si>
    <t>VALOR FLETES USD</t>
  </si>
  <si>
    <t>VALOR_SEGUROS_USD</t>
  </si>
  <si>
    <t>VALOR_OTROS_GASTOS</t>
  </si>
  <si>
    <t>SUMATORIA_FLETES_SEGUROS_OTROS_USD</t>
  </si>
  <si>
    <t>AJUSTE_VALOR_USD</t>
  </si>
  <si>
    <t>VALOR_ADUANA_USD</t>
  </si>
  <si>
    <t>Columna86</t>
  </si>
  <si>
    <t>Columna87</t>
  </si>
  <si>
    <t>COD_OFICINA</t>
  </si>
  <si>
    <t>Columna89</t>
  </si>
  <si>
    <t>Columna90</t>
  </si>
  <si>
    <t>Columna91</t>
  </si>
  <si>
    <t>Columna92</t>
  </si>
  <si>
    <t>DECLARACION 1 DE 4 DO /IMP LAC-1444-25</t>
  </si>
  <si>
    <t>2 0 2 5</t>
  </si>
  <si>
    <t>900428482</t>
  </si>
  <si>
    <t>1</t>
  </si>
  <si>
    <t>YADAS WT IMPORTACIONES S.A.S.</t>
  </si>
  <si>
    <t>CR 27 A 70 67</t>
  </si>
  <si>
    <t>3115685</t>
  </si>
  <si>
    <t>03</t>
  </si>
  <si>
    <t>11</t>
  </si>
  <si>
    <t>001</t>
  </si>
  <si>
    <t>830049499</t>
  </si>
  <si>
    <t>4</t>
  </si>
  <si>
    <t>AGENCIA DE ADUANAS CONTINENTAL EXPRESS LTDA NIVEL 2</t>
  </si>
  <si>
    <t>26</t>
  </si>
  <si>
    <t>384</t>
  </si>
  <si>
    <t>79894923</t>
  </si>
  <si>
    <t>CARRERO PINEDA LUIS ALFREDO</t>
  </si>
  <si>
    <t>02</t>
  </si>
  <si>
    <t>INICIAL</t>
  </si>
  <si>
    <t>XXXXXXXXXXXXXXX</t>
  </si>
  <si>
    <t>XXXX</t>
  </si>
  <si>
    <t>XX</t>
  </si>
  <si>
    <t>XXXXXXXXXXXX</t>
  </si>
  <si>
    <t>BOG</t>
  </si>
  <si>
    <t>13907</t>
  </si>
  <si>
    <t>9194629360</t>
  </si>
  <si>
    <t>2025</t>
  </si>
  <si>
    <t>10</t>
  </si>
  <si>
    <t>22</t>
  </si>
  <si>
    <t>CNFE250800685</t>
  </si>
  <si>
    <t>09</t>
  </si>
  <si>
    <t>13</t>
  </si>
  <si>
    <t>ADK CORPORATION</t>
  </si>
  <si>
    <t>ZONA LIBRE DE COLON</t>
  </si>
  <si>
    <t>580</t>
  </si>
  <si>
    <t>ZONA COMERCIAL COCO SOLITO. MANZANA CO-3-1 LOCAL D9 Z. L. C.</t>
  </si>
  <si>
    <t>VENTASIADKL@ADKZL.COM</t>
  </si>
  <si>
    <t>F2509-03944</t>
  </si>
  <si>
    <t>05</t>
  </si>
  <si>
    <t>190</t>
  </si>
  <si>
    <t>169</t>
  </si>
  <si>
    <t>MCT LTDA - TRANSITO ADUANERO DE MER</t>
  </si>
  <si>
    <t>3.888</t>
  </si>
  <si>
    <t>76</t>
  </si>
  <si>
    <t>8482100000</t>
  </si>
  <si>
    <t>C200</t>
  </si>
  <si>
    <t>01</t>
  </si>
  <si>
    <t>4.403</t>
  </si>
  <si>
    <t>48</t>
  </si>
  <si>
    <t>4.183</t>
  </si>
  <si>
    <t>31</t>
  </si>
  <si>
    <t>PK</t>
  </si>
  <si>
    <t>40</t>
  </si>
  <si>
    <t>2</t>
  </si>
  <si>
    <t>U</t>
  </si>
  <si>
    <t>14.440</t>
  </si>
  <si>
    <t>00</t>
  </si>
  <si>
    <t>877.22</t>
  </si>
  <si>
    <t>60.65</t>
  </si>
  <si>
    <t>0.00</t>
  </si>
  <si>
    <t>937.87</t>
  </si>
  <si>
    <t>72.295.40</t>
  </si>
  <si>
    <t>X</t>
  </si>
  <si>
    <t>99</t>
  </si>
  <si>
    <t>XXXXXXXXXX</t>
  </si>
  <si>
    <t>0000</t>
  </si>
  <si>
    <t>DO  LAC</t>
  </si>
  <si>
    <t>DECLARACION 2 DE 4 DO /IMP LAC-1444-25</t>
  </si>
  <si>
    <t>F2509-03945</t>
  </si>
  <si>
    <t>7.642</t>
  </si>
  <si>
    <t>46</t>
  </si>
  <si>
    <t>7.260</t>
  </si>
  <si>
    <t>34</t>
  </si>
  <si>
    <t>27.438</t>
  </si>
  <si>
    <t>1.522.35</t>
  </si>
  <si>
    <t>105.27</t>
  </si>
  <si>
    <t>1.627.62</t>
  </si>
  <si>
    <t>125.472.24</t>
  </si>
  <si>
    <t>DECLARACION 3 DE 4 DO /IMP LAC-1444-25</t>
  </si>
  <si>
    <t>F2509-03946</t>
  </si>
  <si>
    <t>4010320000</t>
  </si>
  <si>
    <t>1.013</t>
  </si>
  <si>
    <t>04</t>
  </si>
  <si>
    <t>962</t>
  </si>
  <si>
    <t>38</t>
  </si>
  <si>
    <t>KG</t>
  </si>
  <si>
    <t>201.81</t>
  </si>
  <si>
    <t>13.95</t>
  </si>
  <si>
    <t>215.76</t>
  </si>
  <si>
    <t>16.631.82</t>
  </si>
  <si>
    <t>DECLARACION 4 DE 4 DO /IMP LAC-1444-25</t>
  </si>
  <si>
    <t>2.001</t>
  </si>
  <si>
    <t>1.900</t>
  </si>
  <si>
    <t>97</t>
  </si>
  <si>
    <t>5.336</t>
  </si>
  <si>
    <t>398.62</t>
  </si>
  <si>
    <t>27.56</t>
  </si>
  <si>
    <t>426.18</t>
  </si>
  <si>
    <t>32.852.38</t>
  </si>
  <si>
    <t>COMPARACION DE 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</si>
</sst>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4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"/>
  <sheetViews>
    <sheetView tabSelected="1" workbookViewId="0"/>
  </sheetViews>
  <sheetFormatPr baseColWidth="10" defaultColWidth="9.28515625" defaultRowHeight="15" x14ac:dyDescent="0.25"/>
  <cols>
    <col min="1" max="1" width="42.85546875" bestFit="1" customWidth="1"/>
    <col min="2" max="2" width="6.28515625" bestFit="1" customWidth="1"/>
    <col min="3" max="3" width="10.42578125" bestFit="1" customWidth="1"/>
    <col min="4" max="4" width="25.28515625" bestFit="1" customWidth="1"/>
    <col min="5" max="5" width="33.42578125" bestFit="1" customWidth="1"/>
    <col min="6" max="6" width="12.28515625" bestFit="1" customWidth="1"/>
    <col min="7" max="7" width="10.140625" bestFit="1" customWidth="1"/>
    <col min="8" max="8" width="13.140625" bestFit="1" customWidth="1"/>
    <col min="9" max="9" width="20.28515625" bestFit="1" customWidth="1"/>
    <col min="10" max="10" width="19" bestFit="1" customWidth="1"/>
    <col min="11" max="11" width="15.85546875" bestFit="1" customWidth="1"/>
    <col min="12" max="12" width="37.5703125" bestFit="1" customWidth="1"/>
    <col min="13" max="13" width="54.85546875" bestFit="1" customWidth="1"/>
    <col min="14" max="14" width="16.7109375" bestFit="1" customWidth="1"/>
    <col min="15" max="15" width="14.140625" bestFit="1" customWidth="1"/>
    <col min="16" max="16" width="24.7109375" bestFit="1" customWidth="1"/>
    <col min="17" max="17" width="29.42578125" bestFit="1" customWidth="1"/>
    <col min="18" max="18" width="22" bestFit="1" customWidth="1"/>
    <col min="19" max="19" width="21" bestFit="1" customWidth="1"/>
    <col min="20" max="20" width="21.5703125" bestFit="1" customWidth="1"/>
    <col min="21" max="21" width="19.7109375" bestFit="1" customWidth="1"/>
    <col min="22" max="22" width="13" bestFit="1" customWidth="1"/>
    <col min="23" max="23" width="29.85546875" bestFit="1" customWidth="1"/>
    <col min="24" max="24" width="14" bestFit="1" customWidth="1"/>
    <col min="25" max="25" width="9.85546875" bestFit="1" customWidth="1"/>
    <col min="26" max="26" width="14.7109375" bestFit="1" customWidth="1"/>
    <col min="27" max="30" width="10.85546875" bestFit="1" customWidth="1"/>
    <col min="31" max="31" width="34.42578125" bestFit="1" customWidth="1"/>
    <col min="32" max="32" width="17.7109375" bestFit="1" customWidth="1"/>
    <col min="33" max="33" width="21.85546875" bestFit="1" customWidth="1"/>
    <col min="34" max="34" width="6.140625" bestFit="1" customWidth="1"/>
    <col min="35" max="35" width="4.85546875" bestFit="1" customWidth="1"/>
    <col min="36" max="36" width="4.140625" bestFit="1" customWidth="1"/>
    <col min="37" max="37" width="28.140625" bestFit="1" customWidth="1"/>
    <col min="38" max="38" width="6.140625" bestFit="1" customWidth="1"/>
    <col min="39" max="39" width="5.85546875" bestFit="1" customWidth="1"/>
    <col min="40" max="40" width="5.140625" bestFit="1" customWidth="1"/>
    <col min="41" max="41" width="44.28515625" bestFit="1" customWidth="1"/>
    <col min="42" max="42" width="20.85546875" bestFit="1" customWidth="1"/>
    <col min="44" max="44" width="62" bestFit="1" customWidth="1"/>
    <col min="45" max="45" width="25.7109375" bestFit="1" customWidth="1"/>
    <col min="46" max="46" width="20.85546875" bestFit="1" customWidth="1"/>
    <col min="47" max="47" width="6.140625" hidden="1" customWidth="1"/>
    <col min="48" max="48" width="5.85546875" hidden="1" customWidth="1"/>
    <col min="49" max="49" width="5.140625" hidden="1" customWidth="1"/>
    <col min="50" max="50" width="18" hidden="1" customWidth="1"/>
    <col min="51" max="51" width="23.5703125" hidden="1" customWidth="1"/>
    <col min="52" max="52" width="13.85546875" hidden="1" customWidth="1"/>
    <col min="53" max="53" width="28.7109375" hidden="1" customWidth="1"/>
    <col min="54" max="54" width="38.42578125" hidden="1" customWidth="1"/>
    <col min="55" max="55" width="16.28515625" bestFit="1" customWidth="1"/>
    <col min="56" max="56" width="4.42578125" bestFit="1" customWidth="1"/>
    <col min="57" max="57" width="25.42578125" bestFit="1" customWidth="1"/>
    <col min="58" max="58" width="18.140625" hidden="1" customWidth="1"/>
    <col min="59" max="59" width="16.140625" hidden="1" customWidth="1"/>
    <col min="60" max="60" width="16.5703125" hidden="1" customWidth="1"/>
    <col min="61" max="61" width="25.28515625" hidden="1" customWidth="1"/>
    <col min="62" max="62" width="18" hidden="1" customWidth="1"/>
    <col min="63" max="63" width="22.42578125" hidden="1" customWidth="1"/>
    <col min="64" max="64" width="16.85546875" hidden="1" customWidth="1"/>
    <col min="65" max="65" width="14" hidden="1" customWidth="1"/>
    <col min="66" max="66" width="31" hidden="1" customWidth="1"/>
    <col min="67" max="67" width="18.7109375" hidden="1" customWidth="1"/>
    <col min="68" max="68" width="19" hidden="1" customWidth="1"/>
    <col min="69" max="69" width="12.7109375" hidden="1" customWidth="1"/>
    <col min="70" max="70" width="21.7109375" hidden="1" customWidth="1"/>
    <col min="71" max="71" width="15" hidden="1" customWidth="1"/>
    <col min="72" max="72" width="20.28515625" hidden="1" customWidth="1"/>
    <col min="73" max="73" width="18.5703125" hidden="1" customWidth="1"/>
    <col min="74" max="74" width="17.28515625" hidden="1" customWidth="1"/>
    <col min="75" max="75" width="13.28515625" hidden="1" customWidth="1"/>
    <col min="76" max="76" width="17.5703125" hidden="1" customWidth="1"/>
    <col min="77" max="77" width="18.140625" hidden="1" customWidth="1"/>
    <col min="78" max="78" width="15.42578125" hidden="1" customWidth="1"/>
    <col min="79" max="79" width="15.140625" bestFit="1" customWidth="1"/>
    <col min="80" max="80" width="17.5703125" bestFit="1" customWidth="1"/>
    <col min="81" max="82" width="25.28515625" customWidth="1"/>
    <col min="83" max="83" width="22.42578125" bestFit="1" customWidth="1"/>
    <col min="84" max="84" width="40.7109375" bestFit="1" customWidth="1"/>
    <col min="85" max="85" width="19.28515625" bestFit="1" customWidth="1"/>
    <col min="86" max="86" width="20.85546875" bestFit="1" customWidth="1"/>
    <col min="87" max="88" width="10.85546875" bestFit="1" customWidth="1"/>
    <col min="89" max="89" width="13.28515625" bestFit="1" customWidth="1"/>
    <col min="90" max="90" width="10.85546875" bestFit="1" customWidth="1"/>
    <col min="91" max="91" width="12.42578125" bestFit="1" customWidth="1"/>
    <col min="92" max="92" width="10.85546875" bestFit="1" customWidth="1"/>
    <col min="93" max="93" width="141" style="4" bestFit="1" customWidth="1"/>
  </cols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5" t="s">
        <v>191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3" t="s">
        <v>91</v>
      </c>
    </row>
    <row r="2" spans="1:93" x14ac:dyDescent="0.25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  <c r="T2" t="s">
        <v>95</v>
      </c>
      <c r="U2" t="s">
        <v>111</v>
      </c>
      <c r="V2" t="s">
        <v>112</v>
      </c>
      <c r="W2" t="s">
        <v>113</v>
      </c>
      <c r="X2" t="s">
        <v>113</v>
      </c>
      <c r="Y2" t="s">
        <v>113</v>
      </c>
      <c r="Z2" t="s">
        <v>114</v>
      </c>
      <c r="AA2" t="s">
        <v>112</v>
      </c>
      <c r="AB2" t="s">
        <v>113</v>
      </c>
      <c r="AC2" t="s">
        <v>113</v>
      </c>
      <c r="AD2" t="s">
        <v>113</v>
      </c>
      <c r="AE2" t="s">
        <v>115</v>
      </c>
      <c r="AF2" t="s">
        <v>116</v>
      </c>
      <c r="AG2" t="s">
        <v>117</v>
      </c>
      <c r="AH2" t="s">
        <v>118</v>
      </c>
      <c r="AI2" t="s">
        <v>119</v>
      </c>
      <c r="AJ2" t="s">
        <v>120</v>
      </c>
      <c r="AK2" t="s">
        <v>121</v>
      </c>
      <c r="AL2" t="s">
        <v>118</v>
      </c>
      <c r="AM2" t="s">
        <v>122</v>
      </c>
      <c r="AN2" t="s">
        <v>123</v>
      </c>
      <c r="AO2" t="s">
        <v>124</v>
      </c>
      <c r="AP2" t="s">
        <v>125</v>
      </c>
      <c r="AQ2" t="s">
        <v>126</v>
      </c>
      <c r="AR2" t="s">
        <v>127</v>
      </c>
      <c r="AS2" t="s">
        <v>128</v>
      </c>
      <c r="AT2" t="s">
        <v>129</v>
      </c>
      <c r="AU2" t="s">
        <v>118</v>
      </c>
      <c r="AV2" t="s">
        <v>122</v>
      </c>
      <c r="AW2" t="s">
        <v>130</v>
      </c>
      <c r="AX2" t="s">
        <v>131</v>
      </c>
      <c r="AY2" t="s">
        <v>95</v>
      </c>
      <c r="AZ2" t="s">
        <v>132</v>
      </c>
      <c r="BA2" t="s">
        <v>100</v>
      </c>
      <c r="BB2" t="s">
        <v>133</v>
      </c>
      <c r="BC2" t="s">
        <v>134</v>
      </c>
      <c r="BD2" t="s">
        <v>135</v>
      </c>
      <c r="BE2" t="s">
        <v>136</v>
      </c>
      <c r="BF2" t="s">
        <v>113</v>
      </c>
      <c r="BG2" t="s">
        <v>113</v>
      </c>
      <c r="BH2" t="s">
        <v>137</v>
      </c>
      <c r="BI2" t="s">
        <v>112</v>
      </c>
      <c r="BJ2" t="s">
        <v>112</v>
      </c>
      <c r="BK2" t="s">
        <v>112</v>
      </c>
      <c r="BL2" t="s">
        <v>131</v>
      </c>
      <c r="BM2" t="s">
        <v>113</v>
      </c>
      <c r="BN2" t="s">
        <v>138</v>
      </c>
      <c r="BO2" t="s">
        <v>138</v>
      </c>
      <c r="BP2" t="s">
        <v>126</v>
      </c>
      <c r="BQ2" t="s">
        <v>139</v>
      </c>
      <c r="BR2" t="s">
        <v>140</v>
      </c>
      <c r="BS2" t="s">
        <v>141</v>
      </c>
      <c r="BT2" t="s">
        <v>142</v>
      </c>
      <c r="BU2" t="s">
        <v>143</v>
      </c>
      <c r="BV2" t="s">
        <v>144</v>
      </c>
      <c r="BW2" t="s">
        <v>145</v>
      </c>
      <c r="BX2" t="s">
        <v>146</v>
      </c>
      <c r="BY2" t="s">
        <v>147</v>
      </c>
      <c r="BZ2" t="s">
        <v>148</v>
      </c>
      <c r="CA2" s="2">
        <v>71357.53</v>
      </c>
      <c r="CB2" t="s">
        <v>149</v>
      </c>
      <c r="CC2" t="s">
        <v>150</v>
      </c>
      <c r="CD2" s="2">
        <f>71357.53*0.085%</f>
        <v>60.653900500000006</v>
      </c>
      <c r="CE2" t="s">
        <v>151</v>
      </c>
      <c r="CF2" t="s">
        <v>152</v>
      </c>
      <c r="CG2" t="s">
        <v>151</v>
      </c>
      <c r="CH2" t="s">
        <v>153</v>
      </c>
      <c r="CI2" t="s">
        <v>154</v>
      </c>
      <c r="CJ2" t="s">
        <v>113</v>
      </c>
      <c r="CK2" t="s">
        <v>155</v>
      </c>
      <c r="CL2" t="s">
        <v>112</v>
      </c>
      <c r="CM2" t="s">
        <v>156</v>
      </c>
      <c r="CN2" t="s">
        <v>157</v>
      </c>
      <c r="CO2" s="4" t="s">
        <v>158</v>
      </c>
    </row>
    <row r="3" spans="1:93" x14ac:dyDescent="0.25">
      <c r="A3" t="s">
        <v>159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95</v>
      </c>
      <c r="U3" t="s">
        <v>111</v>
      </c>
      <c r="V3" t="s">
        <v>112</v>
      </c>
      <c r="W3" t="s">
        <v>113</v>
      </c>
      <c r="X3" t="s">
        <v>113</v>
      </c>
      <c r="Y3" t="s">
        <v>113</v>
      </c>
      <c r="Z3" t="s">
        <v>114</v>
      </c>
      <c r="AA3" t="s">
        <v>112</v>
      </c>
      <c r="AB3" t="s">
        <v>113</v>
      </c>
      <c r="AC3" t="s">
        <v>113</v>
      </c>
      <c r="AD3" t="s">
        <v>113</v>
      </c>
      <c r="AE3" t="s">
        <v>115</v>
      </c>
      <c r="AF3" t="s">
        <v>116</v>
      </c>
      <c r="AG3" t="s">
        <v>117</v>
      </c>
      <c r="AH3" t="s">
        <v>118</v>
      </c>
      <c r="AI3" t="s">
        <v>119</v>
      </c>
      <c r="AJ3" t="s">
        <v>120</v>
      </c>
      <c r="AK3" t="s">
        <v>121</v>
      </c>
      <c r="AL3" t="s">
        <v>118</v>
      </c>
      <c r="AM3" t="s">
        <v>122</v>
      </c>
      <c r="AN3" t="s">
        <v>123</v>
      </c>
      <c r="AO3" t="s">
        <v>124</v>
      </c>
      <c r="AP3" t="s">
        <v>125</v>
      </c>
      <c r="AQ3" t="s">
        <v>126</v>
      </c>
      <c r="AR3" t="s">
        <v>127</v>
      </c>
      <c r="AS3" t="s">
        <v>128</v>
      </c>
      <c r="AT3" t="s">
        <v>160</v>
      </c>
      <c r="AU3" t="s">
        <v>118</v>
      </c>
      <c r="AV3" t="s">
        <v>122</v>
      </c>
      <c r="AW3" t="s">
        <v>130</v>
      </c>
      <c r="AX3" t="s">
        <v>131</v>
      </c>
      <c r="AY3" t="s">
        <v>95</v>
      </c>
      <c r="AZ3" t="s">
        <v>132</v>
      </c>
      <c r="BA3" t="s">
        <v>100</v>
      </c>
      <c r="BB3" t="s">
        <v>133</v>
      </c>
      <c r="BC3" t="s">
        <v>134</v>
      </c>
      <c r="BD3" t="s">
        <v>135</v>
      </c>
      <c r="BE3" t="s">
        <v>136</v>
      </c>
      <c r="BF3" t="s">
        <v>113</v>
      </c>
      <c r="BG3" t="s">
        <v>113</v>
      </c>
      <c r="BH3" t="s">
        <v>137</v>
      </c>
      <c r="BI3" t="s">
        <v>112</v>
      </c>
      <c r="BJ3" t="s">
        <v>112</v>
      </c>
      <c r="BK3" t="s">
        <v>112</v>
      </c>
      <c r="BL3" t="s">
        <v>131</v>
      </c>
      <c r="BM3" t="s">
        <v>113</v>
      </c>
      <c r="BN3" t="s">
        <v>138</v>
      </c>
      <c r="BO3" t="s">
        <v>138</v>
      </c>
      <c r="BP3" t="s">
        <v>126</v>
      </c>
      <c r="BQ3" t="s">
        <v>161</v>
      </c>
      <c r="BR3" t="s">
        <v>162</v>
      </c>
      <c r="BS3" t="s">
        <v>163</v>
      </c>
      <c r="BT3" t="s">
        <v>164</v>
      </c>
      <c r="BU3" t="s">
        <v>143</v>
      </c>
      <c r="BV3" t="s">
        <v>144</v>
      </c>
      <c r="BW3" t="s">
        <v>145</v>
      </c>
      <c r="BX3" t="s">
        <v>146</v>
      </c>
      <c r="BY3" t="s">
        <v>165</v>
      </c>
      <c r="BZ3" t="s">
        <v>148</v>
      </c>
      <c r="CA3" s="2">
        <v>123844.62</v>
      </c>
      <c r="CB3" t="s">
        <v>166</v>
      </c>
      <c r="CC3" t="s">
        <v>167</v>
      </c>
      <c r="CD3" s="2">
        <f>123844.62*0.085%</f>
        <v>105.267927</v>
      </c>
      <c r="CE3" t="s">
        <v>151</v>
      </c>
      <c r="CF3" t="s">
        <v>168</v>
      </c>
      <c r="CG3" t="s">
        <v>151</v>
      </c>
      <c r="CH3" t="s">
        <v>169</v>
      </c>
      <c r="CI3" t="s">
        <v>154</v>
      </c>
      <c r="CJ3" t="s">
        <v>113</v>
      </c>
      <c r="CK3" t="s">
        <v>155</v>
      </c>
      <c r="CL3" t="s">
        <v>112</v>
      </c>
      <c r="CM3" t="s">
        <v>156</v>
      </c>
      <c r="CN3" t="s">
        <v>157</v>
      </c>
      <c r="CO3" s="4" t="s">
        <v>158</v>
      </c>
    </row>
    <row r="4" spans="1:93" x14ac:dyDescent="0.25">
      <c r="A4" t="s">
        <v>170</v>
      </c>
      <c r="B4" t="s">
        <v>93</v>
      </c>
      <c r="C4" t="s">
        <v>94</v>
      </c>
      <c r="D4" t="s">
        <v>95</v>
      </c>
      <c r="E4" t="s">
        <v>96</v>
      </c>
      <c r="F4" t="s">
        <v>97</v>
      </c>
      <c r="G4" t="s">
        <v>98</v>
      </c>
      <c r="H4" t="s">
        <v>99</v>
      </c>
      <c r="I4" t="s">
        <v>100</v>
      </c>
      <c r="J4" t="s">
        <v>101</v>
      </c>
      <c r="K4" t="s">
        <v>102</v>
      </c>
      <c r="L4" t="s">
        <v>103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109</v>
      </c>
      <c r="S4" t="s">
        <v>110</v>
      </c>
      <c r="T4" t="s">
        <v>95</v>
      </c>
      <c r="U4" t="s">
        <v>111</v>
      </c>
      <c r="V4" t="s">
        <v>112</v>
      </c>
      <c r="W4" t="s">
        <v>113</v>
      </c>
      <c r="X4" t="s">
        <v>113</v>
      </c>
      <c r="Y4" t="s">
        <v>113</v>
      </c>
      <c r="Z4" t="s">
        <v>114</v>
      </c>
      <c r="AA4" t="s">
        <v>112</v>
      </c>
      <c r="AB4" t="s">
        <v>113</v>
      </c>
      <c r="AC4" t="s">
        <v>113</v>
      </c>
      <c r="AD4" t="s">
        <v>113</v>
      </c>
      <c r="AE4" t="s">
        <v>115</v>
      </c>
      <c r="AF4" t="s">
        <v>116</v>
      </c>
      <c r="AG4" t="s">
        <v>117</v>
      </c>
      <c r="AH4" t="s">
        <v>118</v>
      </c>
      <c r="AI4" t="s">
        <v>119</v>
      </c>
      <c r="AJ4" t="s">
        <v>120</v>
      </c>
      <c r="AK4" t="s">
        <v>121</v>
      </c>
      <c r="AL4" t="s">
        <v>118</v>
      </c>
      <c r="AM4" t="s">
        <v>122</v>
      </c>
      <c r="AN4" t="s">
        <v>123</v>
      </c>
      <c r="AO4" t="s">
        <v>124</v>
      </c>
      <c r="AP4" t="s">
        <v>125</v>
      </c>
      <c r="AQ4" t="s">
        <v>126</v>
      </c>
      <c r="AR4" t="s">
        <v>127</v>
      </c>
      <c r="AS4" t="s">
        <v>128</v>
      </c>
      <c r="AT4" t="s">
        <v>171</v>
      </c>
      <c r="AU4" t="s">
        <v>118</v>
      </c>
      <c r="AV4" t="s">
        <v>122</v>
      </c>
      <c r="AW4" t="s">
        <v>130</v>
      </c>
      <c r="AX4" t="s">
        <v>131</v>
      </c>
      <c r="AY4" t="s">
        <v>95</v>
      </c>
      <c r="AZ4" t="s">
        <v>132</v>
      </c>
      <c r="BA4" t="s">
        <v>100</v>
      </c>
      <c r="BB4" t="s">
        <v>133</v>
      </c>
      <c r="BC4" t="s">
        <v>134</v>
      </c>
      <c r="BD4" t="s">
        <v>135</v>
      </c>
      <c r="BE4" t="s">
        <v>172</v>
      </c>
      <c r="BF4" t="s">
        <v>113</v>
      </c>
      <c r="BG4" t="s">
        <v>113</v>
      </c>
      <c r="BH4" t="s">
        <v>137</v>
      </c>
      <c r="BI4" t="s">
        <v>112</v>
      </c>
      <c r="BJ4" t="s">
        <v>112</v>
      </c>
      <c r="BK4" t="s">
        <v>112</v>
      </c>
      <c r="BL4" t="s">
        <v>131</v>
      </c>
      <c r="BM4" t="s">
        <v>113</v>
      </c>
      <c r="BN4" t="s">
        <v>138</v>
      </c>
      <c r="BO4" t="s">
        <v>138</v>
      </c>
      <c r="BP4" t="s">
        <v>126</v>
      </c>
      <c r="BQ4" t="s">
        <v>173</v>
      </c>
      <c r="BR4" t="s">
        <v>174</v>
      </c>
      <c r="BS4" t="s">
        <v>175</v>
      </c>
      <c r="BT4" t="s">
        <v>176</v>
      </c>
      <c r="BU4" t="s">
        <v>143</v>
      </c>
      <c r="BV4" t="s">
        <v>144</v>
      </c>
      <c r="BW4" t="s">
        <v>145</v>
      </c>
      <c r="BX4" t="s">
        <v>177</v>
      </c>
      <c r="BY4" t="s">
        <v>175</v>
      </c>
      <c r="BZ4" t="s">
        <v>176</v>
      </c>
      <c r="CA4" s="2">
        <v>16416.060000000001</v>
      </c>
      <c r="CB4" t="s">
        <v>178</v>
      </c>
      <c r="CC4" t="s">
        <v>179</v>
      </c>
      <c r="CD4" s="2">
        <f>16416.06*0.085%</f>
        <v>13.953651000000002</v>
      </c>
      <c r="CE4" t="s">
        <v>151</v>
      </c>
      <c r="CF4" t="s">
        <v>180</v>
      </c>
      <c r="CG4" t="s">
        <v>151</v>
      </c>
      <c r="CH4" t="s">
        <v>181</v>
      </c>
      <c r="CI4" t="s">
        <v>154</v>
      </c>
      <c r="CJ4" t="s">
        <v>113</v>
      </c>
      <c r="CK4" t="s">
        <v>155</v>
      </c>
      <c r="CL4" t="s">
        <v>112</v>
      </c>
      <c r="CM4" t="s">
        <v>156</v>
      </c>
      <c r="CN4" t="s">
        <v>157</v>
      </c>
      <c r="CO4" s="4" t="s">
        <v>158</v>
      </c>
    </row>
    <row r="5" spans="1:93" x14ac:dyDescent="0.25">
      <c r="A5" t="s">
        <v>182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108</v>
      </c>
      <c r="R5" t="s">
        <v>109</v>
      </c>
      <c r="S5" t="s">
        <v>110</v>
      </c>
      <c r="T5" t="s">
        <v>95</v>
      </c>
      <c r="U5" t="s">
        <v>111</v>
      </c>
      <c r="V5" t="s">
        <v>112</v>
      </c>
      <c r="W5" t="s">
        <v>113</v>
      </c>
      <c r="X5" t="s">
        <v>113</v>
      </c>
      <c r="Y5" t="s">
        <v>113</v>
      </c>
      <c r="Z5" t="s">
        <v>114</v>
      </c>
      <c r="AA5" t="s">
        <v>112</v>
      </c>
      <c r="AB5" t="s">
        <v>113</v>
      </c>
      <c r="AC5" t="s">
        <v>113</v>
      </c>
      <c r="AD5" t="s">
        <v>113</v>
      </c>
      <c r="AE5" t="s">
        <v>115</v>
      </c>
      <c r="AF5" t="s">
        <v>116</v>
      </c>
      <c r="AG5" t="s">
        <v>117</v>
      </c>
      <c r="AH5" t="s">
        <v>118</v>
      </c>
      <c r="AI5" t="s">
        <v>119</v>
      </c>
      <c r="AJ5" t="s">
        <v>120</v>
      </c>
      <c r="AK5" t="s">
        <v>121</v>
      </c>
      <c r="AL5" t="s">
        <v>118</v>
      </c>
      <c r="AM5" t="s">
        <v>122</v>
      </c>
      <c r="AN5" t="s">
        <v>123</v>
      </c>
      <c r="AO5" t="s">
        <v>124</v>
      </c>
      <c r="AP5" t="s">
        <v>125</v>
      </c>
      <c r="AQ5" t="s">
        <v>126</v>
      </c>
      <c r="AR5" t="s">
        <v>127</v>
      </c>
      <c r="AS5" t="s">
        <v>128</v>
      </c>
      <c r="AT5" t="s">
        <v>171</v>
      </c>
      <c r="AU5" t="s">
        <v>118</v>
      </c>
      <c r="AV5" t="s">
        <v>122</v>
      </c>
      <c r="AW5" t="s">
        <v>130</v>
      </c>
      <c r="AX5" t="s">
        <v>131</v>
      </c>
      <c r="AY5" t="s">
        <v>95</v>
      </c>
      <c r="AZ5" t="s">
        <v>132</v>
      </c>
      <c r="BA5" t="s">
        <v>100</v>
      </c>
      <c r="BB5" t="s">
        <v>133</v>
      </c>
      <c r="BC5" t="s">
        <v>134</v>
      </c>
      <c r="BD5" t="s">
        <v>135</v>
      </c>
      <c r="BE5" t="s">
        <v>136</v>
      </c>
      <c r="BF5" t="s">
        <v>113</v>
      </c>
      <c r="BG5" t="s">
        <v>113</v>
      </c>
      <c r="BH5" t="s">
        <v>137</v>
      </c>
      <c r="BI5" t="s">
        <v>112</v>
      </c>
      <c r="BJ5" t="s">
        <v>112</v>
      </c>
      <c r="BK5" t="s">
        <v>112</v>
      </c>
      <c r="BL5" t="s">
        <v>131</v>
      </c>
      <c r="BM5" t="s">
        <v>113</v>
      </c>
      <c r="BN5" t="s">
        <v>138</v>
      </c>
      <c r="BO5" t="s">
        <v>138</v>
      </c>
      <c r="BP5" t="s">
        <v>126</v>
      </c>
      <c r="BQ5" t="s">
        <v>183</v>
      </c>
      <c r="BR5" t="s">
        <v>109</v>
      </c>
      <c r="BS5" t="s">
        <v>184</v>
      </c>
      <c r="BT5" t="s">
        <v>185</v>
      </c>
      <c r="BU5" t="s">
        <v>143</v>
      </c>
      <c r="BV5" t="s">
        <v>144</v>
      </c>
      <c r="BW5" t="s">
        <v>145</v>
      </c>
      <c r="BX5" t="s">
        <v>146</v>
      </c>
      <c r="BY5" t="s">
        <v>186</v>
      </c>
      <c r="BZ5" t="s">
        <v>148</v>
      </c>
      <c r="CA5" s="2">
        <v>32426.2</v>
      </c>
      <c r="CB5" t="s">
        <v>187</v>
      </c>
      <c r="CC5" t="s">
        <v>188</v>
      </c>
      <c r="CD5" s="2">
        <f>32426.2*0.085%</f>
        <v>27.562270000000002</v>
      </c>
      <c r="CE5" t="s">
        <v>151</v>
      </c>
      <c r="CF5" t="s">
        <v>189</v>
      </c>
      <c r="CG5" t="s">
        <v>151</v>
      </c>
      <c r="CH5" t="s">
        <v>190</v>
      </c>
      <c r="CI5" t="s">
        <v>154</v>
      </c>
      <c r="CJ5" t="s">
        <v>113</v>
      </c>
      <c r="CK5" t="s">
        <v>155</v>
      </c>
      <c r="CL5" t="s">
        <v>112</v>
      </c>
      <c r="CM5" t="s">
        <v>156</v>
      </c>
      <c r="CN5" t="s">
        <v>157</v>
      </c>
      <c r="CO5" s="4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 Javier Rodriguez Aguirre</cp:lastModifiedBy>
  <dcterms:created xsi:type="dcterms:W3CDTF">2025-10-27T14:37:12Z</dcterms:created>
  <dcterms:modified xsi:type="dcterms:W3CDTF">2025-10-27T21:17:59Z</dcterms:modified>
</cp:coreProperties>
</file>